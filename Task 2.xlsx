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FS Tasks" sheetId="1" state="visible" r:id="rId1"/>
    <sheet xmlns:r="http://schemas.openxmlformats.org/officeDocument/2006/relationships" name="Formula Guide" sheetId="2" state="visible" r:id="rId2"/>
  </sheets>
  <definedNames>
    <definedName name="_xlnm._FilterDatabase" localSheetId="0" hidden="1">'IFS Tasks'!$A$1:$K$11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FSTasksTable" displayName="IFSTasksTable" ref="A1:K11" headerRowCount="1">
  <autoFilter ref="A1:K11"/>
  <tableColumns count="11">
    <tableColumn id="1" name="Employee"/>
    <tableColumn id="2" name="Department"/>
    <tableColumn id="3" name="Marks"/>
    <tableColumn id="4" name="Salary (₹)"/>
    <tableColumn id="5" name="Attendance"/>
    <tableColumn id="6" name="Q7: Grade"/>
    <tableColumn id="7" name="Q8: Salary Class"/>
    <tableColumn id="8" name="Q9: Attendance Class"/>
    <tableColumn id="9" name="Q10: Eligibility"/>
    <tableColumn id="10" name="Q11: Department Premium"/>
    <tableColumn id="11" name="Q12: Performance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5" customWidth="1" min="4" max="4"/>
    <col width="13" customWidth="1" min="5" max="5"/>
    <col width="18" customWidth="1" min="6" max="6"/>
    <col width="19" customWidth="1" min="7" max="7"/>
    <col width="22" customWidth="1" min="8" max="8"/>
    <col width="18" customWidth="1" min="9" max="9"/>
    <col width="23" customWidth="1" min="10" max="10"/>
    <col width="25" customWidth="1" min="11" max="11"/>
  </cols>
  <sheetData>
    <row r="1" ht="40" customHeight="1">
      <c r="A1" s="1" t="inlineStr">
        <is>
          <t>Employee</t>
        </is>
      </c>
      <c r="B1" s="1" t="inlineStr">
        <is>
          <t>Department</t>
        </is>
      </c>
      <c r="C1" s="1" t="inlineStr">
        <is>
          <t>Marks</t>
        </is>
      </c>
      <c r="D1" s="1" t="inlineStr">
        <is>
          <t>Salary (₹)</t>
        </is>
      </c>
      <c r="E1" s="1" t="inlineStr">
        <is>
          <t>Attendance</t>
        </is>
      </c>
      <c r="F1" s="1" t="inlineStr">
        <is>
          <t>Q7: Grade</t>
        </is>
      </c>
      <c r="G1" s="1" t="inlineStr">
        <is>
          <t>Q8: Salary Class</t>
        </is>
      </c>
      <c r="H1" s="1" t="inlineStr">
        <is>
          <t>Q9: Attendance Class</t>
        </is>
      </c>
      <c r="I1" s="1" t="inlineStr">
        <is>
          <t>Q10: Eligibility</t>
        </is>
      </c>
      <c r="J1" s="1" t="inlineStr">
        <is>
          <t>Q11: Department Premium</t>
        </is>
      </c>
      <c r="K1" s="1" t="inlineStr">
        <is>
          <t>Q12: Performance Rating</t>
        </is>
      </c>
    </row>
    <row r="2">
      <c r="A2" s="2" t="inlineStr">
        <is>
          <t>Rahul</t>
        </is>
      </c>
      <c r="B2" s="2" t="inlineStr">
        <is>
          <t>IT</t>
        </is>
      </c>
      <c r="C2" s="2" t="n">
        <v>85</v>
      </c>
      <c r="D2" s="3" t="n">
        <v>45000</v>
      </c>
      <c r="E2" s="4" t="n">
        <v>0.92</v>
      </c>
      <c r="F2" s="2">
        <f>IFS(C2&gt;=90,"Excellent",C2&gt;=80,"Very Good",C2&gt;=70,"Good",C2&gt;=60,"Average",C2&lt;60,"Fail")</f>
        <v/>
      </c>
      <c r="G2" s="2">
        <f>IFS(D2&gt;=50000,"A",D2&gt;=40000,"B",D2&gt;=35000,"C",D2&lt;35000,"D")</f>
        <v/>
      </c>
      <c r="H2" s="2">
        <f>IFS(E2&gt;=90%,"Excellent",E2&gt;=80%,"Good",E2&gt;=75%,"Average",E2&lt;75%,"Poor")</f>
        <v/>
      </c>
      <c r="I2" s="2">
        <f>IF(AND(C2&gt;=80,E2&gt;=85%),"Eligible","Not Eligible")</f>
        <v/>
      </c>
      <c r="J2" s="2">
        <f>IFS(AND(B2="IT",D2&gt;=45000),"IT Premium",AND(B2="HR",D2&gt;=40000),"HR Premium",TRUE,"Regular")</f>
        <v/>
      </c>
      <c r="K2" s="2">
        <f>IFS(C2&gt;=90,"Outstanding",C2&gt;=80,"Strong",C2&gt;=70,"Satisfactory",C2&lt;70,"Needs Improvement")</f>
        <v/>
      </c>
    </row>
    <row r="3">
      <c r="A3" s="2" t="inlineStr">
        <is>
          <t>Priya</t>
        </is>
      </c>
      <c r="B3" s="2" t="inlineStr">
        <is>
          <t>HR</t>
        </is>
      </c>
      <c r="C3" s="2" t="n">
        <v>72</v>
      </c>
      <c r="D3" s="3" t="n">
        <v>30000</v>
      </c>
      <c r="E3" s="4" t="n">
        <v>0.85</v>
      </c>
      <c r="F3" s="2">
        <f>IFS(C3&gt;=90,"Excellent",C3&gt;=80,"Very Good",C3&gt;=70,"Good",C3&gt;=60,"Average",C3&lt;60,"Fail")</f>
        <v/>
      </c>
      <c r="G3" s="2">
        <f>IFS(D3&gt;=50000,"A",D3&gt;=40000,"B",D3&gt;=35000,"C",D3&lt;35000,"D")</f>
        <v/>
      </c>
      <c r="H3" s="2">
        <f>IFS(E3&gt;=90%,"Excellent",E3&gt;=80%,"Good",E3&gt;=75%,"Average",E3&lt;75%,"Poor")</f>
        <v/>
      </c>
      <c r="I3" s="2">
        <f>IF(AND(C3&gt;=80,E3&gt;=85%),"Eligible","Not Eligible")</f>
        <v/>
      </c>
      <c r="J3" s="2">
        <f>IFS(AND(B3="IT",D3&gt;=45000),"IT Premium",AND(B3="HR",D3&gt;=40000),"HR Premium",TRUE,"Regular")</f>
        <v/>
      </c>
      <c r="K3" s="2">
        <f>IFS(C3&gt;=90,"Outstanding",C3&gt;=80,"Strong",C3&gt;=70,"Satisfactory",C3&lt;70,"Needs Improvement")</f>
        <v/>
      </c>
    </row>
    <row r="4">
      <c r="A4" s="2" t="inlineStr">
        <is>
          <t>Aman</t>
        </is>
      </c>
      <c r="B4" s="2" t="inlineStr">
        <is>
          <t>IT</t>
        </is>
      </c>
      <c r="C4" s="2" t="n">
        <v>65</v>
      </c>
      <c r="D4" s="3" t="n">
        <v>42000</v>
      </c>
      <c r="E4" s="4" t="n">
        <v>0.78</v>
      </c>
      <c r="F4" s="2">
        <f>IFS(C4&gt;=90,"Excellent",C4&gt;=80,"Very Good",C4&gt;=70,"Good",C4&gt;=60,"Average",C4&lt;60,"Fail")</f>
        <v/>
      </c>
      <c r="G4" s="2">
        <f>IFS(D4&gt;=50000,"A",D4&gt;=40000,"B",D4&gt;=35000,"C",D4&lt;35000,"D")</f>
        <v/>
      </c>
      <c r="H4" s="2">
        <f>IFS(E4&gt;=90%,"Excellent",E4&gt;=80%,"Good",E4&gt;=75%,"Average",E4&lt;75%,"Poor")</f>
        <v/>
      </c>
      <c r="I4" s="2">
        <f>IF(AND(C4&gt;=80,E4&gt;=85%),"Eligible","Not Eligible")</f>
        <v/>
      </c>
      <c r="J4" s="2">
        <f>IFS(AND(B4="IT",D4&gt;=45000),"IT Premium",AND(B4="HR",D4&gt;=40000),"HR Premium",TRUE,"Regular")</f>
        <v/>
      </c>
      <c r="K4" s="2">
        <f>IFS(C4&gt;=90,"Outstanding",C4&gt;=80,"Strong",C4&gt;=70,"Satisfactory",C4&lt;70,"Needs Improvement")</f>
        <v/>
      </c>
    </row>
    <row r="5">
      <c r="A5" s="2" t="inlineStr">
        <is>
          <t>Neha</t>
        </is>
      </c>
      <c r="B5" s="2" t="inlineStr">
        <is>
          <t>Sales</t>
        </is>
      </c>
      <c r="C5" s="2" t="n">
        <v>91</v>
      </c>
      <c r="D5" s="3" t="n">
        <v>52000</v>
      </c>
      <c r="E5" s="4" t="n">
        <v>0.96</v>
      </c>
      <c r="F5" s="2">
        <f>IFS(C5&gt;=90,"Excellent",C5&gt;=80,"Very Good",C5&gt;=70,"Good",C5&gt;=60,"Average",C5&lt;60,"Fail")</f>
        <v/>
      </c>
      <c r="G5" s="2">
        <f>IFS(D5&gt;=50000,"A",D5&gt;=40000,"B",D5&gt;=35000,"C",D5&lt;35000,"D")</f>
        <v/>
      </c>
      <c r="H5" s="2">
        <f>IFS(E5&gt;=90%,"Excellent",E5&gt;=80%,"Good",E5&gt;=75%,"Average",E5&lt;75%,"Poor")</f>
        <v/>
      </c>
      <c r="I5" s="2">
        <f>IF(AND(C5&gt;=80,E5&gt;=85%),"Eligible","Not Eligible")</f>
        <v/>
      </c>
      <c r="J5" s="2">
        <f>IFS(AND(B5="IT",D5&gt;=45000),"IT Premium",AND(B5="HR",D5&gt;=40000),"HR Premium",TRUE,"Regular")</f>
        <v/>
      </c>
      <c r="K5" s="2">
        <f>IFS(C5&gt;=90,"Outstanding",C5&gt;=80,"Strong",C5&gt;=70,"Satisfactory",C5&lt;70,"Needs Improvement")</f>
        <v/>
      </c>
    </row>
    <row r="6">
      <c r="A6" s="2" t="inlineStr">
        <is>
          <t>Rohit</t>
        </is>
      </c>
      <c r="B6" s="2" t="inlineStr">
        <is>
          <t>HR</t>
        </is>
      </c>
      <c r="C6" s="2" t="n">
        <v>58</v>
      </c>
      <c r="D6" s="3" t="n">
        <v>35000</v>
      </c>
      <c r="E6" s="4" t="n">
        <v>0.72</v>
      </c>
      <c r="F6" s="2">
        <f>IFS(C6&gt;=90,"Excellent",C6&gt;=80,"Very Good",C6&gt;=70,"Good",C6&gt;=60,"Average",C6&lt;60,"Fail")</f>
        <v/>
      </c>
      <c r="G6" s="2">
        <f>IFS(D6&gt;=50000,"A",D6&gt;=40000,"B",D6&gt;=35000,"C",D6&lt;35000,"D")</f>
        <v/>
      </c>
      <c r="H6" s="2">
        <f>IFS(E6&gt;=90%,"Excellent",E6&gt;=80%,"Good",E6&gt;=75%,"Average",E6&lt;75%,"Poor")</f>
        <v/>
      </c>
      <c r="I6" s="2">
        <f>IF(AND(C6&gt;=80,E6&gt;=85%),"Eligible","Not Eligible")</f>
        <v/>
      </c>
      <c r="J6" s="2">
        <f>IFS(AND(B6="IT",D6&gt;=45000),"IT Premium",AND(B6="HR",D6&gt;=40000),"HR Premium",TRUE,"Regular")</f>
        <v/>
      </c>
      <c r="K6" s="2">
        <f>IFS(C6&gt;=90,"Outstanding",C6&gt;=80,"Strong",C6&gt;=70,"Satisfactory",C6&lt;70,"Needs Improvement")</f>
        <v/>
      </c>
    </row>
    <row r="7">
      <c r="A7" s="2" t="inlineStr">
        <is>
          <t>Simran</t>
        </is>
      </c>
      <c r="B7" s="2" t="inlineStr">
        <is>
          <t>IT</t>
        </is>
      </c>
      <c r="C7" s="2" t="n">
        <v>78</v>
      </c>
      <c r="D7" s="3" t="n">
        <v>48000</v>
      </c>
      <c r="E7" s="4" t="n">
        <v>0.88</v>
      </c>
      <c r="F7" s="2">
        <f>IFS(C7&gt;=90,"Excellent",C7&gt;=80,"Very Good",C7&gt;=70,"Good",C7&gt;=60,"Average",C7&lt;60,"Fail")</f>
        <v/>
      </c>
      <c r="G7" s="2">
        <f>IFS(D7&gt;=50000,"A",D7&gt;=40000,"B",D7&gt;=35000,"C",D7&lt;35000,"D")</f>
        <v/>
      </c>
      <c r="H7" s="2">
        <f>IFS(E7&gt;=90%,"Excellent",E7&gt;=80%,"Good",E7&gt;=75%,"Average",E7&lt;75%,"Poor")</f>
        <v/>
      </c>
      <c r="I7" s="2">
        <f>IF(AND(C7&gt;=80,E7&gt;=85%),"Eligible","Not Eligible")</f>
        <v/>
      </c>
      <c r="J7" s="2">
        <f>IFS(AND(B7="IT",D7&gt;=45000),"IT Premium",AND(B7="HR",D7&gt;=40000),"HR Premium",TRUE,"Regular")</f>
        <v/>
      </c>
      <c r="K7" s="2">
        <f>IFS(C7&gt;=90,"Outstanding",C7&gt;=80,"Strong",C7&gt;=70,"Satisfactory",C7&lt;70,"Needs Improvement")</f>
        <v/>
      </c>
    </row>
    <row r="8">
      <c r="A8" s="2" t="inlineStr">
        <is>
          <t>Karan</t>
        </is>
      </c>
      <c r="B8" s="2" t="inlineStr">
        <is>
          <t>Sales</t>
        </is>
      </c>
      <c r="C8" s="2" t="n">
        <v>69</v>
      </c>
      <c r="D8" s="3" t="n">
        <v>41000</v>
      </c>
      <c r="E8" s="4" t="n">
        <v>0.8100000000000001</v>
      </c>
      <c r="F8" s="2">
        <f>IFS(C8&gt;=90,"Excellent",C8&gt;=80,"Very Good",C8&gt;=70,"Good",C8&gt;=60,"Average",C8&lt;60,"Fail")</f>
        <v/>
      </c>
      <c r="G8" s="2">
        <f>IFS(D8&gt;=50000,"A",D8&gt;=40000,"B",D8&gt;=35000,"C",D8&lt;35000,"D")</f>
        <v/>
      </c>
      <c r="H8" s="2">
        <f>IFS(E8&gt;=90%,"Excellent",E8&gt;=80%,"Good",E8&gt;=75%,"Average",E8&lt;75%,"Poor")</f>
        <v/>
      </c>
      <c r="I8" s="2">
        <f>IF(AND(C8&gt;=80,E8&gt;=85%),"Eligible","Not Eligible")</f>
        <v/>
      </c>
      <c r="J8" s="2">
        <f>IFS(AND(B8="IT",D8&gt;=45000),"IT Premium",AND(B8="HR",D8&gt;=40000),"HR Premium",TRUE,"Regular")</f>
        <v/>
      </c>
      <c r="K8" s="2">
        <f>IFS(C8&gt;=90,"Outstanding",C8&gt;=80,"Strong",C8&gt;=70,"Satisfactory",C8&lt;70,"Needs Improvement")</f>
        <v/>
      </c>
    </row>
    <row r="9">
      <c r="A9" s="2" t="inlineStr">
        <is>
          <t>Anjali</t>
        </is>
      </c>
      <c r="B9" s="2" t="inlineStr">
        <is>
          <t>HR</t>
        </is>
      </c>
      <c r="C9" s="2" t="n">
        <v>88</v>
      </c>
      <c r="D9" s="3" t="n">
        <v>46000</v>
      </c>
      <c r="E9" s="4" t="n">
        <v>0.9399999999999999</v>
      </c>
      <c r="F9" s="2">
        <f>IFS(C9&gt;=90,"Excellent",C9&gt;=80,"Very Good",C9&gt;=70,"Good",C9&gt;=60,"Average",C9&lt;60,"Fail")</f>
        <v/>
      </c>
      <c r="G9" s="2">
        <f>IFS(D9&gt;=50000,"A",D9&gt;=40000,"B",D9&gt;=35000,"C",D9&lt;35000,"D")</f>
        <v/>
      </c>
      <c r="H9" s="2">
        <f>IFS(E9&gt;=90%,"Excellent",E9&gt;=80%,"Good",E9&gt;=75%,"Average",E9&lt;75%,"Poor")</f>
        <v/>
      </c>
      <c r="I9" s="2">
        <f>IF(AND(C9&gt;=80,E9&gt;=85%),"Eligible","Not Eligible")</f>
        <v/>
      </c>
      <c r="J9" s="2">
        <f>IFS(AND(B9="IT",D9&gt;=45000),"IT Premium",AND(B9="HR",D9&gt;=40000),"HR Premium",TRUE,"Regular")</f>
        <v/>
      </c>
      <c r="K9" s="2">
        <f>IFS(C9&gt;=90,"Outstanding",C9&gt;=80,"Strong",C9&gt;=70,"Satisfactory",C9&lt;70,"Needs Improvement")</f>
        <v/>
      </c>
    </row>
    <row r="10">
      <c r="A10" s="2" t="inlineStr">
        <is>
          <t>Vivek</t>
        </is>
      </c>
      <c r="B10" s="2" t="inlineStr">
        <is>
          <t>IT</t>
        </is>
      </c>
      <c r="C10" s="2" t="n">
        <v>95</v>
      </c>
      <c r="D10" s="3" t="n">
        <v>60000</v>
      </c>
      <c r="E10" s="4" t="n">
        <v>0.98</v>
      </c>
      <c r="F10" s="2">
        <f>IFS(C10&gt;=90,"Excellent",C10&gt;=80,"Very Good",C10&gt;=70,"Good",C10&gt;=60,"Average",C10&lt;60,"Fail")</f>
        <v/>
      </c>
      <c r="G10" s="2">
        <f>IFS(D10&gt;=50000,"A",D10&gt;=40000,"B",D10&gt;=35000,"C",D10&lt;35000,"D")</f>
        <v/>
      </c>
      <c r="H10" s="2">
        <f>IFS(E10&gt;=90%,"Excellent",E10&gt;=80%,"Good",E10&gt;=75%,"Average",E10&lt;75%,"Poor")</f>
        <v/>
      </c>
      <c r="I10" s="2">
        <f>IF(AND(C10&gt;=80,E10&gt;=85%),"Eligible","Not Eligible")</f>
        <v/>
      </c>
      <c r="J10" s="2">
        <f>IFS(AND(B10="IT",D10&gt;=45000),"IT Premium",AND(B10="HR",D10&gt;=40000),"HR Premium",TRUE,"Regular")</f>
        <v/>
      </c>
      <c r="K10" s="2">
        <f>IFS(C10&gt;=90,"Outstanding",C10&gt;=80,"Strong",C10&gt;=70,"Satisfactory",C10&lt;70,"Needs Improvement")</f>
        <v/>
      </c>
    </row>
    <row r="11">
      <c r="A11" s="2" t="inlineStr">
        <is>
          <t>Pooja</t>
        </is>
      </c>
      <c r="B11" s="2" t="inlineStr">
        <is>
          <t>Sales</t>
        </is>
      </c>
      <c r="C11" s="2" t="n">
        <v>74</v>
      </c>
      <c r="D11" s="3" t="n">
        <v>39000</v>
      </c>
      <c r="E11" s="4" t="n">
        <v>0.86</v>
      </c>
      <c r="F11" s="2">
        <f>IFS(C11&gt;=90,"Excellent",C11&gt;=80,"Very Good",C11&gt;=70,"Good",C11&gt;=60,"Average",C11&lt;60,"Fail")</f>
        <v/>
      </c>
      <c r="G11" s="2">
        <f>IFS(D11&gt;=50000,"A",D11&gt;=40000,"B",D11&gt;=35000,"C",D11&lt;35000,"D")</f>
        <v/>
      </c>
      <c r="H11" s="2">
        <f>IFS(E11&gt;=90%,"Excellent",E11&gt;=80%,"Good",E11&gt;=75%,"Average",E11&lt;75%,"Poor")</f>
        <v/>
      </c>
      <c r="I11" s="2">
        <f>IF(AND(C11&gt;=80,E11&gt;=85%),"Eligible","Not Eligible")</f>
        <v/>
      </c>
      <c r="J11" s="2">
        <f>IFS(AND(B11="IT",D11&gt;=45000),"IT Premium",AND(B11="HR",D11&gt;=40000),"HR Premium",TRUE,"Regular")</f>
        <v/>
      </c>
      <c r="K11" s="2">
        <f>IFS(C11&gt;=90,"Outstanding",C11&gt;=80,"Strong",C11&gt;=70,"Satisfactory",C11&lt;70,"Needs Improvement")</f>
        <v/>
      </c>
    </row>
  </sheetData>
  <autoFilter ref="A1:K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95" customWidth="1" min="3" max="3"/>
  </cols>
  <sheetData>
    <row r="1" ht="30" customHeight="1">
      <c r="A1" s="5" t="inlineStr">
        <is>
          <t>Task</t>
        </is>
      </c>
      <c r="B1" s="5" t="inlineStr">
        <is>
          <t>Formula (example row 2)</t>
        </is>
      </c>
      <c r="C1" s="5" t="inlineStr">
        <is>
          <t>Rule</t>
        </is>
      </c>
    </row>
    <row r="2">
      <c r="A2" s="6" t="inlineStr">
        <is>
          <t>7. Grade</t>
        </is>
      </c>
      <c r="B2" s="6">
        <f>IFS(C2&gt;=90,"Excellent",C2&gt;=80,"Very Good",C2&gt;=70,"Good",C2&gt;=60,"Average",C2&lt;60,"Fail")</f>
        <v/>
      </c>
      <c r="C2" s="6" t="inlineStr">
        <is>
          <t>90+ Excellent; 80–89 Very Good; 70–79 Good; 60–69 Average; below 60 Fail.</t>
        </is>
      </c>
    </row>
    <row r="3">
      <c r="A3" s="6" t="inlineStr">
        <is>
          <t>8. Salary Class</t>
        </is>
      </c>
      <c r="B3" s="6">
        <f>IFS(D2&gt;=50000,"A",D2&gt;=40000,"B",D2&gt;=35000,"C",D2&lt;35000,"D")</f>
        <v/>
      </c>
      <c r="C3" s="6" t="inlineStr">
        <is>
          <t>₹50,000+ A; ₹40,000–₹49,999 B; ₹35,000–₹39,999 C; below ₹35,000 D.</t>
        </is>
      </c>
    </row>
    <row r="4">
      <c r="A4" s="6" t="inlineStr">
        <is>
          <t>9. Attendance Class</t>
        </is>
      </c>
      <c r="B4" s="6">
        <f>IFS(E2&gt;=90%,"Excellent",E2&gt;=80%,"Good",E2&gt;=75%,"Average",E2&lt;75%,"Poor")</f>
        <v/>
      </c>
      <c r="C4" s="6" t="inlineStr">
        <is>
          <t>90%+ Excellent; 80–89% Good; 75–79% Average; below 75% Poor.</t>
        </is>
      </c>
    </row>
    <row r="5">
      <c r="A5" s="6" t="inlineStr">
        <is>
          <t>10. Eligibility</t>
        </is>
      </c>
      <c r="B5" s="6">
        <f>IF(AND(C2&gt;=80,E2&gt;=85%),"Eligible","Not Eligible")</f>
        <v/>
      </c>
      <c r="C5" s="6" t="inlineStr">
        <is>
          <t>Eligible if marks are at least 80 AND attendance is at least 85%; otherwise Not Eligible.</t>
        </is>
      </c>
    </row>
    <row r="6">
      <c r="A6" s="6" t="inlineStr">
        <is>
          <t>11. Premium</t>
        </is>
      </c>
      <c r="B6" s="6">
        <f>IFS(AND(B2="IT",D2&gt;=45000),"IT Premium",AND(B2="HR",D2&gt;=40000),"HR Premium",TRUE,"Regular")</f>
        <v/>
      </c>
      <c r="C6" s="6" t="inlineStr">
        <is>
          <t>IT with salary ₹45,000+ → IT Premium; HR with salary ₹40,000+ → HR Premium; everyone else → Regular.</t>
        </is>
      </c>
    </row>
    <row r="7">
      <c r="A7" s="6" t="inlineStr">
        <is>
          <t>12. Performance Rating</t>
        </is>
      </c>
      <c r="B7" s="6">
        <f>IFS(C2&gt;=90,"Outstanding",C2&gt;=80,"Strong",C2&gt;=70,"Satisfactory",C2&lt;70,"Needs Improvement")</f>
        <v/>
      </c>
      <c r="C7" s="6" t="inlineStr">
        <is>
          <t>90+ Outstanding; 80–89 Strong; 70–79 Satisfactory; below 70 Needs Improvement.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2026-09-22T07:22:33Z</dcterms:created>
  <dcterms:modified xmlns:dcterms="http://purl.org/dc/terms/" xmlns:xsi="http://www.w3.org/2001/XMLSchema-instance" xsi:type="dcterms:W3CDTF">2026-09-22T07:22:33Z</dcterms:modified>
</cp:coreProperties>
</file>